
<file path=[Content_Types].xml><?xml version="1.0" encoding="utf-8"?>
<Types xmlns="http://schemas.openxmlformats.org/package/2006/content-types"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K22" i="1" l="1" a="1"/>
  <c r="K22" i="1" s="1"/>
  <c r="K23" i="1" l="1"/>
  <c r="K24" i="1"/>
  <c r="L6" i="1"/>
  <c r="K17" i="1" l="1"/>
  <c r="K19" i="1"/>
  <c r="K18" i="1"/>
  <c r="L9" i="1"/>
  <c r="K9" i="1"/>
  <c r="N9" i="1"/>
  <c r="M9" i="1"/>
  <c r="K12" i="1" l="1"/>
  <c r="M12" i="1"/>
  <c r="L12" i="1"/>
  <c r="K13" i="1"/>
  <c r="L13" i="1"/>
  <c r="M13" i="1"/>
  <c r="M14" i="1"/>
  <c r="K14" i="1"/>
  <c r="L14" i="1"/>
  <c r="M22" i="1" l="1" a="1"/>
  <c r="M22" i="1" s="1"/>
  <c r="O22" i="1" s="1"/>
  <c r="M24" i="1" l="1"/>
  <c r="O24" i="1" s="1"/>
  <c r="M23" i="1"/>
  <c r="O23" i="1" s="1"/>
</calcChain>
</file>

<file path=xl/sharedStrings.xml><?xml version="1.0" encoding="utf-8"?>
<sst xmlns="http://schemas.openxmlformats.org/spreadsheetml/2006/main" count="20" uniqueCount="19">
  <si>
    <t xml:space="preserve">Плоскость </t>
  </si>
  <si>
    <t>D</t>
  </si>
  <si>
    <t>a</t>
  </si>
  <si>
    <t>b</t>
  </si>
  <si>
    <t>c</t>
  </si>
  <si>
    <t>d</t>
  </si>
  <si>
    <t>P</t>
  </si>
  <si>
    <t>x</t>
  </si>
  <si>
    <t>y</t>
  </si>
  <si>
    <t>z</t>
  </si>
  <si>
    <t>N</t>
  </si>
  <si>
    <t>nx</t>
  </si>
  <si>
    <t>ny</t>
  </si>
  <si>
    <t>nz</t>
  </si>
  <si>
    <t>M</t>
  </si>
  <si>
    <t>T</t>
  </si>
  <si>
    <t>M*P</t>
  </si>
  <si>
    <t>P'</t>
  </si>
  <si>
    <t>точка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</si>
</sst>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91441</xdr:colOff>
      <xdr:row>5</xdr:row>
      <xdr:rowOff>30481</xdr:rowOff>
    </xdr:from>
    <xdr:to>
      <xdr:col>7</xdr:col>
      <xdr:colOff>571501</xdr:colOff>
      <xdr:row>15</xdr:row>
      <xdr:rowOff>44457</xdr:rowOff>
    </xdr:to>
    <xdr:pic>
      <xdr:nvPicPr>
        <xdr:cNvPr id="2" name="Рисунок 1" descr="Вырезка экрана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1" y="944881"/>
          <a:ext cx="4137660" cy="1842776"/>
        </a:xfrm>
        <a:prstGeom prst="rect">
          <a:avLst/>
        </a:prstGeom>
      </xdr:spPr>
    </xdr:pic>
    <xdr:clientData/>
  </xdr:twoCellAnchor>
  <xdr:twoCellAnchor editAs="oneCell">
    <xdr:from>
      <xdr:col>0</xdr:col>
      <xdr:colOff>594360</xdr:colOff>
      <xdr:row>15</xdr:row>
      <xdr:rowOff>121920</xdr:rowOff>
    </xdr:from>
    <xdr:to>
      <xdr:col>9</xdr:col>
      <xdr:colOff>351273</xdr:colOff>
      <xdr:row>42</xdr:row>
      <xdr:rowOff>30479</xdr:rowOff>
    </xdr:to>
    <xdr:pic>
      <xdr:nvPicPr>
        <xdr:cNvPr id="3" name="Рисунок 2" descr="Вырезка экрана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" y="2865120"/>
          <a:ext cx="5243313" cy="4846319"/>
        </a:xfrm>
        <a:prstGeom prst="rect">
          <a:avLst/>
        </a:prstGeom>
      </xdr:spPr>
    </xdr:pic>
    <xdr:clientData/>
  </xdr:twoCellAnchor>
  <xdr:twoCellAnchor editAs="oneCell">
    <xdr:from>
      <xdr:col>0</xdr:col>
      <xdr:colOff>594360</xdr:colOff>
      <xdr:row>43</xdr:row>
      <xdr:rowOff>53340</xdr:rowOff>
    </xdr:from>
    <xdr:to>
      <xdr:col>7</xdr:col>
      <xdr:colOff>508073</xdr:colOff>
      <xdr:row>54</xdr:row>
      <xdr:rowOff>22860</xdr:rowOff>
    </xdr:to>
    <xdr:pic>
      <xdr:nvPicPr>
        <xdr:cNvPr id="4" name="Рисунок 3" descr="Вырезка экрана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" y="7917180"/>
          <a:ext cx="4180913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4"/>
  <sheetViews>
    <sheetView tabSelected="1" workbookViewId="0">
      <selection activeCell="S8" sqref="S8"/>
    </sheetView>
  </sheetViews>
  <sheetFormatPr defaultRowHeight="14.4" x14ac:dyDescent="0.3"/>
  <sheetData>
    <row r="2" spans="2:14" x14ac:dyDescent="0.3">
      <c r="B2" t="s">
        <v>0</v>
      </c>
      <c r="J2" t="s">
        <v>18</v>
      </c>
      <c r="K2" t="s">
        <v>6</v>
      </c>
    </row>
    <row r="3" spans="2:14" x14ac:dyDescent="0.3">
      <c r="B3" t="s">
        <v>2</v>
      </c>
      <c r="C3" t="s">
        <v>3</v>
      </c>
      <c r="D3" t="s">
        <v>4</v>
      </c>
      <c r="E3" t="s">
        <v>5</v>
      </c>
      <c r="K3" t="s">
        <v>7</v>
      </c>
      <c r="L3" t="s">
        <v>8</v>
      </c>
      <c r="M3" t="s">
        <v>9</v>
      </c>
    </row>
    <row r="4" spans="2:14" x14ac:dyDescent="0.3">
      <c r="B4" s="1">
        <v>1</v>
      </c>
      <c r="C4" s="1">
        <v>2</v>
      </c>
      <c r="D4" s="1">
        <v>-2</v>
      </c>
      <c r="E4" s="1">
        <v>3</v>
      </c>
      <c r="K4" s="2">
        <v>4</v>
      </c>
      <c r="L4" s="2">
        <v>1</v>
      </c>
      <c r="M4" s="2">
        <v>-2</v>
      </c>
    </row>
    <row r="6" spans="2:14" x14ac:dyDescent="0.3">
      <c r="K6" t="s">
        <v>10</v>
      </c>
      <c r="L6" s="1">
        <f>(B4^2+C4^2+D4^2)^0.5</f>
        <v>3</v>
      </c>
    </row>
    <row r="8" spans="2:14" x14ac:dyDescent="0.3">
      <c r="K8" t="s">
        <v>11</v>
      </c>
      <c r="L8" t="s">
        <v>12</v>
      </c>
      <c r="M8" t="s">
        <v>13</v>
      </c>
      <c r="N8" t="s">
        <v>1</v>
      </c>
    </row>
    <row r="9" spans="2:14" x14ac:dyDescent="0.3">
      <c r="K9" s="1">
        <f>B4/$L$6</f>
        <v>0.33333333333333331</v>
      </c>
      <c r="L9" s="1">
        <f>C4/$L$6</f>
        <v>0.66666666666666663</v>
      </c>
      <c r="M9" s="1">
        <f>D4/$L$6</f>
        <v>-0.66666666666666663</v>
      </c>
      <c r="N9" s="1">
        <f>E4/$L$6</f>
        <v>1</v>
      </c>
    </row>
    <row r="11" spans="2:14" x14ac:dyDescent="0.3">
      <c r="K11" t="s">
        <v>14</v>
      </c>
    </row>
    <row r="12" spans="2:14" x14ac:dyDescent="0.3">
      <c r="K12" s="1">
        <f>1-2*K9^2</f>
        <v>0.77777777777777779</v>
      </c>
      <c r="L12" s="1">
        <f>(-2)*K9*L9</f>
        <v>-0.44444444444444442</v>
      </c>
      <c r="M12" s="1">
        <f>(-2)*K9*M9</f>
        <v>0.44444444444444442</v>
      </c>
    </row>
    <row r="13" spans="2:14" x14ac:dyDescent="0.3">
      <c r="K13" s="1">
        <f>(-2)*L9*K9</f>
        <v>-0.44444444444444442</v>
      </c>
      <c r="L13" s="1">
        <f>1-2*L9^2</f>
        <v>0.11111111111111116</v>
      </c>
      <c r="M13" s="1">
        <f>(-2)*L9*M9</f>
        <v>0.88888888888888884</v>
      </c>
    </row>
    <row r="14" spans="2:14" x14ac:dyDescent="0.3">
      <c r="K14" s="1">
        <f>(-2)*M9*K9</f>
        <v>0.44444444444444442</v>
      </c>
      <c r="L14" s="1">
        <f>(-2)*M9*L9</f>
        <v>0.88888888888888884</v>
      </c>
      <c r="M14" s="1">
        <f>1-2*M9^2</f>
        <v>0.11111111111111116</v>
      </c>
    </row>
    <row r="16" spans="2:14" x14ac:dyDescent="0.3">
      <c r="K16" t="s">
        <v>15</v>
      </c>
    </row>
    <row r="17" spans="11:15" x14ac:dyDescent="0.3">
      <c r="K17" s="1">
        <f>(-2)*B4*E4/L6^2</f>
        <v>-0.66666666666666663</v>
      </c>
    </row>
    <row r="18" spans="11:15" x14ac:dyDescent="0.3">
      <c r="K18" s="1">
        <f>(-2)*C4*E4/L6^2</f>
        <v>-1.3333333333333333</v>
      </c>
    </row>
    <row r="19" spans="11:15" x14ac:dyDescent="0.3">
      <c r="K19" s="1">
        <f>(-2)*D4*E4/L6^2</f>
        <v>1.3333333333333333</v>
      </c>
    </row>
    <row r="21" spans="11:15" x14ac:dyDescent="0.3">
      <c r="K21" t="s">
        <v>6</v>
      </c>
      <c r="M21" t="s">
        <v>16</v>
      </c>
      <c r="O21" t="s">
        <v>17</v>
      </c>
    </row>
    <row r="22" spans="11:15" x14ac:dyDescent="0.3">
      <c r="K22" s="1">
        <f t="array" ref="K22:K24">TRANSPOSE(K4:M4)</f>
        <v>4</v>
      </c>
      <c r="M22" s="1">
        <f t="array" ref="M22:M24">MMULT(K12:M14,K22:K24)</f>
        <v>1.7777777777777781</v>
      </c>
      <c r="O22" s="2">
        <f>M22+K17</f>
        <v>1.1111111111111116</v>
      </c>
    </row>
    <row r="23" spans="11:15" x14ac:dyDescent="0.3">
      <c r="K23" s="1">
        <v>1</v>
      </c>
      <c r="M23" s="1">
        <v>-3.4444444444444442</v>
      </c>
      <c r="O23" s="2">
        <f t="shared" ref="O23:O24" si="0">M23+K18</f>
        <v>-4.7777777777777777</v>
      </c>
    </row>
    <row r="24" spans="11:15" x14ac:dyDescent="0.3">
      <c r="K24" s="1">
        <v>-2</v>
      </c>
      <c r="M24" s="1">
        <v>2.4444444444444442</v>
      </c>
      <c r="O24" s="2">
        <f t="shared" si="0"/>
        <v>3.7777777777777777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2025-12-03T09:38:53Z</dcterms:modified>
</cp:coreProperties>
</file>
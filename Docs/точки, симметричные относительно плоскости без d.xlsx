
<file path=[Content_Types].xml><?xml version="1.0" encoding="utf-8"?>
<Types xmlns="http://schemas.openxmlformats.org/package/2006/content-types"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atrin\катина папка 02.24\ПЛМ\"/>
    </mc:Choice>
  </mc:AlternateContent>
  <bookViews>
    <workbookView xWindow="0" yWindow="0" windowWidth="24072" windowHeight="12432"/>
  </bookViews>
  <sheets>
    <sheet name="матрица симметр" sheetId="5" r:id="rId1"/>
  </sheets>
  <calcPr calcId="152511"/>
</workbook>
</file>

<file path=xl/calcChain.xml><?xml version="1.0" encoding="utf-8"?>
<calcChain xmlns="http://schemas.openxmlformats.org/spreadsheetml/2006/main">
  <c r="C61" i="5" l="1"/>
  <c r="H62" i="5"/>
  <c r="H61" i="5"/>
  <c r="K34" i="5"/>
  <c r="J34" i="5"/>
  <c r="G17" i="5"/>
  <c r="D17" i="5" a="1"/>
  <c r="D17" i="5" s="1"/>
  <c r="D19" i="5" l="1"/>
  <c r="D18" i="5"/>
  <c r="C54" i="5"/>
  <c r="D54" i="5"/>
  <c r="B54" i="5"/>
  <c r="B63" i="5"/>
  <c r="E54" i="5"/>
  <c r="H63" i="5" s="1"/>
  <c r="C63" i="5" l="1"/>
  <c r="D62" i="5"/>
  <c r="D63" i="5"/>
  <c r="C62" i="5"/>
  <c r="B61" i="5"/>
  <c r="L35" i="5"/>
  <c r="L36" i="5"/>
  <c r="L34" i="5"/>
  <c r="K35" i="5"/>
  <c r="K36" i="5"/>
  <c r="J35" i="5"/>
  <c r="J36" i="5"/>
  <c r="S34" i="5" l="1"/>
  <c r="Q34" i="5" a="1"/>
  <c r="B66" i="5" a="1"/>
  <c r="G14" i="5"/>
  <c r="I19" i="5"/>
  <c r="H19" i="5"/>
  <c r="G19" i="5"/>
  <c r="I18" i="5"/>
  <c r="H18" i="5"/>
  <c r="G18" i="5"/>
  <c r="I17" i="5"/>
  <c r="H17" i="5"/>
  <c r="Q34" i="5" l="1"/>
  <c r="Q36" i="5"/>
  <c r="Q35" i="5"/>
  <c r="C68" i="5"/>
  <c r="B67" i="5"/>
  <c r="B68" i="5"/>
  <c r="D66" i="5"/>
  <c r="D68" i="5"/>
  <c r="B66" i="5"/>
  <c r="D67" i="5"/>
  <c r="C66" i="5"/>
  <c r="C67" i="5"/>
  <c r="L18" i="5"/>
  <c r="M17" i="5"/>
  <c r="K19" i="5"/>
  <c r="K18" i="5"/>
  <c r="M18" i="5"/>
  <c r="K17" i="5"/>
  <c r="M19" i="5"/>
  <c r="L17" i="5"/>
  <c r="L19" i="5"/>
  <c r="C71" i="5" l="1" a="1"/>
  <c r="C72" i="5" s="1"/>
  <c r="B77" i="5" s="1"/>
  <c r="C77" i="5" s="1"/>
  <c r="B82" i="5" s="1"/>
  <c r="O17" i="5"/>
  <c r="C73" i="5" l="1"/>
  <c r="B78" i="5" s="1"/>
  <c r="C78" i="5" s="1"/>
  <c r="B83" i="5" s="1"/>
  <c r="C71" i="5"/>
  <c r="B76" i="5" s="1"/>
  <c r="C76" i="5" s="1"/>
  <c r="B81" i="5" s="1"/>
</calcChain>
</file>

<file path=xl/sharedStrings.xml><?xml version="1.0" encoding="utf-8"?>
<sst xmlns="http://schemas.openxmlformats.org/spreadsheetml/2006/main" count="55" uniqueCount="41">
  <si>
    <t>A</t>
  </si>
  <si>
    <t>B</t>
  </si>
  <si>
    <t>C</t>
  </si>
  <si>
    <t>точка</t>
  </si>
  <si>
    <t>X</t>
  </si>
  <si>
    <t>Y</t>
  </si>
  <si>
    <t>Z</t>
  </si>
  <si>
    <t>точка симметричная</t>
  </si>
  <si>
    <t>https://studopedia.ru/10_216527_preobrazovaniya-simmetrii-otnositelno-zadannoy-ploskosti.html</t>
  </si>
  <si>
    <t>матрица М</t>
  </si>
  <si>
    <t>det [М]</t>
  </si>
  <si>
    <t>https://studylib.ru/doc/319178/linejnye-preobrazovaniya-trehmernogo</t>
  </si>
  <si>
    <t>посчитали в другом документе</t>
  </si>
  <si>
    <t>x</t>
  </si>
  <si>
    <t xml:space="preserve">матрица симметрии </t>
  </si>
  <si>
    <t>работает, но…</t>
  </si>
  <si>
    <t>2 способа найти матрицу симметриии</t>
  </si>
  <si>
    <t>1 способ:</t>
  </si>
  <si>
    <t>2 способ:</t>
  </si>
  <si>
    <t>как считали симметричную точку…</t>
  </si>
  <si>
    <t>вектор нормали n</t>
  </si>
  <si>
    <t>D</t>
  </si>
  <si>
    <t>Xm</t>
  </si>
  <si>
    <t>Ym</t>
  </si>
  <si>
    <t>найдем каноническое уравнение прямой в пространстве, перпендикулярной исходной плоскости и прохоящей через точку М</t>
  </si>
  <si>
    <t>М</t>
  </si>
  <si>
    <t>*</t>
  </si>
  <si>
    <t>y</t>
  </si>
  <si>
    <t>=</t>
  </si>
  <si>
    <t>z</t>
  </si>
  <si>
    <t>M-1</t>
  </si>
  <si>
    <t>проекция точки М на плоскость (точка O)</t>
  </si>
  <si>
    <t>вектор МО</t>
  </si>
  <si>
    <t>вектор 2*МО</t>
  </si>
  <si>
    <t>Zm</t>
  </si>
  <si>
    <t>(как проверить)</t>
  </si>
  <si>
    <t>а затем найдем точку пересечений исходной плоскости и найденной прямой (параллельной вектору нормали)</t>
  </si>
  <si>
    <t>и будет у нас система из трех уравнений (вывод если непонятен, могу продублировать в формулах)</t>
  </si>
  <si>
    <t>искомая точка M1 (симметричная относительно плоскости)</t>
  </si>
  <si>
    <t>исходная точка М (для проверки вводим любые координаты)</t>
  </si>
  <si>
    <t>точка исходная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</si>
</sst>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0" xfId="0" applyFill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2" borderId="1" xfId="0" applyFill="1" applyBorder="1"/>
    <xf numFmtId="0" fontId="0" fillId="2" borderId="5" xfId="0" applyFill="1" applyBorder="1"/>
    <xf numFmtId="0" fontId="0" fillId="2" borderId="2" xfId="0" applyFill="1" applyBorder="1"/>
    <xf numFmtId="0" fontId="0" fillId="2" borderId="6" xfId="0" applyFill="1" applyBorder="1"/>
    <xf numFmtId="0" fontId="0" fillId="2" borderId="0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8" xfId="0" applyFill="1" applyBorder="1"/>
    <xf numFmtId="0" fontId="0" fillId="2" borderId="4" xfId="0" applyFill="1" applyBorder="1"/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11</xdr:col>
      <xdr:colOff>76735</xdr:colOff>
      <xdr:row>5</xdr:row>
      <xdr:rowOff>91464</xdr:rowOff>
    </xdr:to>
    <xdr:pic>
      <xdr:nvPicPr>
        <xdr:cNvPr id="2" name="Рисунок 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2880"/>
          <a:ext cx="6172735" cy="2743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6</xdr:col>
      <xdr:colOff>335573</xdr:colOff>
      <xdr:row>10</xdr:row>
      <xdr:rowOff>152477</xdr:rowOff>
    </xdr:to>
    <xdr:pic>
      <xdr:nvPicPr>
        <xdr:cNvPr id="3" name="Рисунок 2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40"/>
          <a:ext cx="3383573" cy="883997"/>
        </a:xfrm>
        <a:prstGeom prst="rect">
          <a:avLst/>
        </a:prstGeom>
      </xdr:spPr>
    </xdr:pic>
    <xdr:clientData/>
  </xdr:twoCellAnchor>
  <xdr:twoCellAnchor editAs="oneCell">
    <xdr:from>
      <xdr:col>4</xdr:col>
      <xdr:colOff>464820</xdr:colOff>
      <xdr:row>11</xdr:row>
      <xdr:rowOff>45720</xdr:rowOff>
    </xdr:from>
    <xdr:to>
      <xdr:col>5</xdr:col>
      <xdr:colOff>602045</xdr:colOff>
      <xdr:row>14</xdr:row>
      <xdr:rowOff>76250</xdr:rowOff>
    </xdr:to>
    <xdr:pic>
      <xdr:nvPicPr>
        <xdr:cNvPr id="4" name="Рисунок 3" descr="Вырезка экрана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3220" y="1508760"/>
          <a:ext cx="746825" cy="579170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21</xdr:row>
      <xdr:rowOff>152400</xdr:rowOff>
    </xdr:from>
    <xdr:to>
      <xdr:col>12</xdr:col>
      <xdr:colOff>160020</xdr:colOff>
      <xdr:row>31</xdr:row>
      <xdr:rowOff>88520</xdr:rowOff>
    </xdr:to>
    <xdr:pic>
      <xdr:nvPicPr>
        <xdr:cNvPr id="5" name="Рисунок 4" descr="Вырезка экрана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3459480"/>
          <a:ext cx="7193280" cy="1764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83"/>
  <sheetViews>
    <sheetView tabSelected="1" topLeftCell="A16" workbookViewId="0">
      <selection activeCell="C62" sqref="C62"/>
    </sheetView>
  </sheetViews>
  <sheetFormatPr defaultRowHeight="14.4" x14ac:dyDescent="0.3"/>
  <sheetData>
    <row r="2" spans="1:15" x14ac:dyDescent="0.3">
      <c r="A2" t="s">
        <v>16</v>
      </c>
    </row>
    <row r="4" spans="1:15" x14ac:dyDescent="0.3">
      <c r="A4" t="s">
        <v>17</v>
      </c>
    </row>
    <row r="5" spans="1:15" x14ac:dyDescent="0.3">
      <c r="M5" t="s">
        <v>8</v>
      </c>
    </row>
    <row r="13" spans="1:15" x14ac:dyDescent="0.3">
      <c r="B13" t="s">
        <v>0</v>
      </c>
      <c r="C13" t="s">
        <v>1</v>
      </c>
      <c r="D13" t="s">
        <v>2</v>
      </c>
    </row>
    <row r="14" spans="1:15" x14ac:dyDescent="0.3">
      <c r="B14" s="14">
        <v>2</v>
      </c>
      <c r="C14" s="14">
        <v>5</v>
      </c>
      <c r="D14" s="14">
        <v>-1</v>
      </c>
      <c r="G14" s="10">
        <f>1/(B14^2+C14^2+D14^2)</f>
        <v>3.3333333333333333E-2</v>
      </c>
    </row>
    <row r="16" spans="1:15" ht="15" thickBot="1" x14ac:dyDescent="0.35">
      <c r="B16" t="s">
        <v>3</v>
      </c>
      <c r="D16" t="s">
        <v>7</v>
      </c>
      <c r="K16" t="s">
        <v>9</v>
      </c>
      <c r="O16" t="s">
        <v>10</v>
      </c>
    </row>
    <row r="17" spans="1:16" x14ac:dyDescent="0.3">
      <c r="A17" t="s">
        <v>4</v>
      </c>
      <c r="B17" s="11">
        <v>5</v>
      </c>
      <c r="D17" s="15">
        <f t="array" ref="D17:D19">MMULT(K17:M19,B17:B19)</f>
        <v>0.8666666666666667</v>
      </c>
      <c r="G17" s="2">
        <f>(-1)*B14^2+C14^2+D14^2</f>
        <v>22</v>
      </c>
      <c r="H17" s="6">
        <f>-2*B14*C14</f>
        <v>-20</v>
      </c>
      <c r="I17" s="3">
        <f>-2*B14*D14</f>
        <v>4</v>
      </c>
      <c r="K17" s="21">
        <f>G17*$G$14</f>
        <v>0.73333333333333328</v>
      </c>
      <c r="L17" s="22">
        <f t="shared" ref="L17:M19" si="0">H17*$G$14</f>
        <v>-0.66666666666666663</v>
      </c>
      <c r="M17" s="23">
        <f t="shared" si="0"/>
        <v>0.13333333333333333</v>
      </c>
      <c r="O17">
        <f>MDETERM(K17:M19)</f>
        <v>-0.99999999999999978</v>
      </c>
    </row>
    <row r="18" spans="1:16" x14ac:dyDescent="0.3">
      <c r="A18" t="s">
        <v>5</v>
      </c>
      <c r="B18" s="12">
        <v>4</v>
      </c>
      <c r="D18" s="16">
        <v>-6.333333333333333</v>
      </c>
      <c r="G18" s="7">
        <f>-2*B14*C14</f>
        <v>-20</v>
      </c>
      <c r="H18" s="1">
        <f>B14^2-C14^2+D14^2</f>
        <v>-20</v>
      </c>
      <c r="I18" s="8">
        <f>-2*C14*D14</f>
        <v>10</v>
      </c>
      <c r="K18" s="24">
        <f t="shared" ref="K18:K19" si="1">G18*$G$14</f>
        <v>-0.66666666666666663</v>
      </c>
      <c r="L18" s="25">
        <f>H18*$G$14</f>
        <v>-0.66666666666666663</v>
      </c>
      <c r="M18" s="26">
        <f t="shared" si="0"/>
        <v>0.33333333333333331</v>
      </c>
    </row>
    <row r="19" spans="1:16" ht="15" thickBot="1" x14ac:dyDescent="0.35">
      <c r="A19" t="s">
        <v>6</v>
      </c>
      <c r="B19" s="13">
        <v>-1</v>
      </c>
      <c r="D19" s="17">
        <v>1.0666666666666667</v>
      </c>
      <c r="G19" s="4">
        <f>-2*B14*D14</f>
        <v>4</v>
      </c>
      <c r="H19" s="9">
        <f>-2*C14*D14</f>
        <v>10</v>
      </c>
      <c r="I19" s="5">
        <f>B14^2+C14^2-D14^2</f>
        <v>28</v>
      </c>
      <c r="K19" s="27">
        <f t="shared" si="1"/>
        <v>0.13333333333333333</v>
      </c>
      <c r="L19" s="28">
        <f t="shared" si="0"/>
        <v>0.33333333333333331</v>
      </c>
      <c r="M19" s="29">
        <f t="shared" si="0"/>
        <v>0.93333333333333335</v>
      </c>
    </row>
    <row r="22" spans="1:16" x14ac:dyDescent="0.3">
      <c r="A22" t="s">
        <v>18</v>
      </c>
    </row>
    <row r="24" spans="1:16" x14ac:dyDescent="0.3">
      <c r="P24" t="s">
        <v>11</v>
      </c>
    </row>
    <row r="25" spans="1:16" x14ac:dyDescent="0.3">
      <c r="P25" t="s">
        <v>15</v>
      </c>
    </row>
    <row r="33" spans="2:19" ht="15" thickBot="1" x14ac:dyDescent="0.35">
      <c r="B33" t="s">
        <v>3</v>
      </c>
      <c r="D33" t="s">
        <v>7</v>
      </c>
      <c r="J33" t="s">
        <v>14</v>
      </c>
      <c r="O33" t="s">
        <v>40</v>
      </c>
      <c r="Q33" t="s">
        <v>7</v>
      </c>
      <c r="S33" t="s">
        <v>10</v>
      </c>
    </row>
    <row r="34" spans="2:19" x14ac:dyDescent="0.3">
      <c r="B34" s="11">
        <v>1</v>
      </c>
      <c r="D34" s="14">
        <v>0.73333333333333339</v>
      </c>
      <c r="F34" t="s">
        <v>12</v>
      </c>
      <c r="J34" s="10">
        <f>D34</f>
        <v>0.73333333333333339</v>
      </c>
      <c r="K34" s="10">
        <f>D39</f>
        <v>-0.66666666666666674</v>
      </c>
      <c r="L34" s="10">
        <f>D44</f>
        <v>0.13333333333333333</v>
      </c>
      <c r="O34">
        <v>5</v>
      </c>
      <c r="Q34" s="10">
        <f t="array" ref="Q34:Q36">MMULT(J34:L36,O34:O36)</f>
        <v>0.8666666666666667</v>
      </c>
      <c r="S34">
        <f>MDETERM(J34:L36)</f>
        <v>-1</v>
      </c>
    </row>
    <row r="35" spans="2:19" x14ac:dyDescent="0.3">
      <c r="B35" s="12">
        <v>0</v>
      </c>
      <c r="D35" s="14">
        <v>-0.66666666666666674</v>
      </c>
      <c r="J35" s="10">
        <f t="shared" ref="J35:J36" si="2">D35</f>
        <v>-0.66666666666666674</v>
      </c>
      <c r="K35" s="10">
        <f t="shared" ref="K35:K36" si="3">D40</f>
        <v>-0.66666666666666652</v>
      </c>
      <c r="L35" s="10">
        <f t="shared" ref="L35:L36" si="4">D45</f>
        <v>0.33333333333333331</v>
      </c>
      <c r="O35">
        <v>4</v>
      </c>
      <c r="Q35" s="10">
        <v>-6.333333333333333</v>
      </c>
    </row>
    <row r="36" spans="2:19" ht="15" thickBot="1" x14ac:dyDescent="0.35">
      <c r="B36" s="13">
        <v>0</v>
      </c>
      <c r="D36" s="14">
        <v>0.13333333333333336</v>
      </c>
      <c r="J36" s="10">
        <f t="shared" si="2"/>
        <v>0.13333333333333336</v>
      </c>
      <c r="K36" s="10">
        <f t="shared" si="3"/>
        <v>0.33333333333333331</v>
      </c>
      <c r="L36" s="10">
        <f t="shared" si="4"/>
        <v>0.93333333333333335</v>
      </c>
      <c r="O36">
        <v>-1</v>
      </c>
      <c r="Q36" s="10">
        <v>1.0666666666666667</v>
      </c>
    </row>
    <row r="38" spans="2:19" ht="15" thickBot="1" x14ac:dyDescent="0.35">
      <c r="B38" t="s">
        <v>3</v>
      </c>
      <c r="D38" t="s">
        <v>7</v>
      </c>
    </row>
    <row r="39" spans="2:19" x14ac:dyDescent="0.3">
      <c r="B39" s="11">
        <v>0</v>
      </c>
      <c r="D39" s="18">
        <v>-0.66666666666666674</v>
      </c>
    </row>
    <row r="40" spans="2:19" x14ac:dyDescent="0.3">
      <c r="B40" s="12">
        <v>1</v>
      </c>
      <c r="D40" s="19">
        <v>-0.66666666666666652</v>
      </c>
    </row>
    <row r="41" spans="2:19" ht="15" thickBot="1" x14ac:dyDescent="0.35">
      <c r="B41" s="13">
        <v>0</v>
      </c>
      <c r="D41" s="20">
        <v>0.33333333333333331</v>
      </c>
    </row>
    <row r="43" spans="2:19" ht="15" thickBot="1" x14ac:dyDescent="0.35">
      <c r="B43" t="s">
        <v>3</v>
      </c>
      <c r="D43" t="s">
        <v>7</v>
      </c>
    </row>
    <row r="44" spans="2:19" x14ac:dyDescent="0.3">
      <c r="B44" s="11">
        <v>0</v>
      </c>
      <c r="D44" s="18">
        <v>0.13333333333333333</v>
      </c>
    </row>
    <row r="45" spans="2:19" x14ac:dyDescent="0.3">
      <c r="B45" s="12">
        <v>0</v>
      </c>
      <c r="D45" s="19">
        <v>0.33333333333333331</v>
      </c>
    </row>
    <row r="46" spans="2:19" ht="15" thickBot="1" x14ac:dyDescent="0.35">
      <c r="B46" s="13">
        <v>1</v>
      </c>
      <c r="D46" s="20">
        <v>0.93333333333333335</v>
      </c>
    </row>
    <row r="50" spans="2:9" x14ac:dyDescent="0.3">
      <c r="B50" t="s">
        <v>19</v>
      </c>
      <c r="F50" t="s">
        <v>35</v>
      </c>
    </row>
    <row r="52" spans="2:9" x14ac:dyDescent="0.3">
      <c r="B52" t="s">
        <v>20</v>
      </c>
      <c r="G52" t="s">
        <v>39</v>
      </c>
    </row>
    <row r="53" spans="2:9" x14ac:dyDescent="0.3">
      <c r="B53" t="s">
        <v>0</v>
      </c>
      <c r="C53" t="s">
        <v>1</v>
      </c>
      <c r="D53" t="s">
        <v>2</v>
      </c>
      <c r="E53" t="s">
        <v>21</v>
      </c>
      <c r="G53" t="s">
        <v>22</v>
      </c>
      <c r="H53" t="s">
        <v>23</v>
      </c>
      <c r="I53" t="s">
        <v>34</v>
      </c>
    </row>
    <row r="54" spans="2:9" x14ac:dyDescent="0.3">
      <c r="B54">
        <f>B14</f>
        <v>2</v>
      </c>
      <c r="C54">
        <f t="shared" ref="C54:D54" si="5">C14</f>
        <v>5</v>
      </c>
      <c r="D54">
        <f t="shared" si="5"/>
        <v>-1</v>
      </c>
      <c r="E54">
        <f>E43</f>
        <v>0</v>
      </c>
      <c r="G54" s="14">
        <v>5</v>
      </c>
      <c r="H54" s="14">
        <v>4</v>
      </c>
      <c r="I54" s="14">
        <v>-1</v>
      </c>
    </row>
    <row r="55" spans="2:9" x14ac:dyDescent="0.3">
      <c r="B55" t="s">
        <v>24</v>
      </c>
    </row>
    <row r="57" spans="2:9" x14ac:dyDescent="0.3">
      <c r="B57" t="s">
        <v>36</v>
      </c>
    </row>
    <row r="59" spans="2:9" x14ac:dyDescent="0.3">
      <c r="B59" t="s">
        <v>37</v>
      </c>
    </row>
    <row r="60" spans="2:9" ht="15" thickBot="1" x14ac:dyDescent="0.35">
      <c r="B60" t="s">
        <v>25</v>
      </c>
    </row>
    <row r="61" spans="2:9" x14ac:dyDescent="0.3">
      <c r="B61" s="2">
        <f>C54</f>
        <v>5</v>
      </c>
      <c r="C61" s="6">
        <f>-B54</f>
        <v>-2</v>
      </c>
      <c r="D61" s="3">
        <v>0</v>
      </c>
      <c r="F61" t="s">
        <v>13</v>
      </c>
      <c r="H61" s="11">
        <f>C54*G54-B54*H54</f>
        <v>17</v>
      </c>
    </row>
    <row r="62" spans="2:9" x14ac:dyDescent="0.3">
      <c r="B62" s="7">
        <v>0</v>
      </c>
      <c r="C62" s="1">
        <f>D54</f>
        <v>-1</v>
      </c>
      <c r="D62" s="8">
        <f>-C54</f>
        <v>-5</v>
      </c>
      <c r="E62" t="s">
        <v>26</v>
      </c>
      <c r="F62" t="s">
        <v>27</v>
      </c>
      <c r="G62" t="s">
        <v>28</v>
      </c>
      <c r="H62" s="12">
        <f>D54*H54-C54*I54</f>
        <v>1</v>
      </c>
    </row>
    <row r="63" spans="2:9" ht="15" thickBot="1" x14ac:dyDescent="0.35">
      <c r="B63" s="4">
        <f>B54</f>
        <v>2</v>
      </c>
      <c r="C63" s="9">
        <f>C54</f>
        <v>5</v>
      </c>
      <c r="D63" s="5">
        <f>D54</f>
        <v>-1</v>
      </c>
      <c r="F63" t="s">
        <v>29</v>
      </c>
      <c r="H63" s="13">
        <f>-E54</f>
        <v>0</v>
      </c>
    </row>
    <row r="65" spans="2:4" ht="15" thickBot="1" x14ac:dyDescent="0.35">
      <c r="B65" t="s">
        <v>30</v>
      </c>
    </row>
    <row r="66" spans="2:4" x14ac:dyDescent="0.3">
      <c r="B66" s="2">
        <f t="array" ref="B66:D68">MINVERSE(B61:D63)</f>
        <v>0.17333333333333334</v>
      </c>
      <c r="C66" s="6">
        <v>-1.3333333333333332E-2</v>
      </c>
      <c r="D66" s="3">
        <v>6.666666666666668E-2</v>
      </c>
    </row>
    <row r="67" spans="2:4" x14ac:dyDescent="0.3">
      <c r="B67" s="7">
        <v>-6.666666666666668E-2</v>
      </c>
      <c r="C67" s="1">
        <v>-3.3333333333333333E-2</v>
      </c>
      <c r="D67" s="8">
        <v>0.16666666666666669</v>
      </c>
    </row>
    <row r="68" spans="2:4" ht="15" thickBot="1" x14ac:dyDescent="0.35">
      <c r="B68" s="4">
        <v>1.3333333333333336E-2</v>
      </c>
      <c r="C68" s="9">
        <v>-0.19333333333333333</v>
      </c>
      <c r="D68" s="5">
        <v>-3.3333333333333333E-2</v>
      </c>
    </row>
    <row r="70" spans="2:4" ht="15" thickBot="1" x14ac:dyDescent="0.35">
      <c r="B70" t="s">
        <v>31</v>
      </c>
    </row>
    <row r="71" spans="2:4" x14ac:dyDescent="0.3">
      <c r="B71" t="s">
        <v>13</v>
      </c>
      <c r="C71" s="11">
        <f t="array" ref="C71:C73">MMULT(B66:D68,H61:H63)</f>
        <v>2.9333333333333336</v>
      </c>
    </row>
    <row r="72" spans="2:4" x14ac:dyDescent="0.3">
      <c r="B72" t="s">
        <v>27</v>
      </c>
      <c r="C72" s="12">
        <v>-1.166666666666667</v>
      </c>
    </row>
    <row r="73" spans="2:4" ht="15" thickBot="1" x14ac:dyDescent="0.35">
      <c r="B73" t="s">
        <v>29</v>
      </c>
      <c r="C73" s="13">
        <v>3.3333333333333381E-2</v>
      </c>
    </row>
    <row r="75" spans="2:4" x14ac:dyDescent="0.3">
      <c r="B75" t="s">
        <v>32</v>
      </c>
      <c r="C75" t="s">
        <v>33</v>
      </c>
    </row>
    <row r="76" spans="2:4" x14ac:dyDescent="0.3">
      <c r="B76">
        <f>C71-G54</f>
        <v>-2.0666666666666664</v>
      </c>
      <c r="C76">
        <f>B76*2</f>
        <v>-4.1333333333333329</v>
      </c>
    </row>
    <row r="77" spans="2:4" x14ac:dyDescent="0.3">
      <c r="B77">
        <f>C72-H54</f>
        <v>-5.166666666666667</v>
      </c>
      <c r="C77">
        <f t="shared" ref="C77:C78" si="6">B77*2</f>
        <v>-10.333333333333334</v>
      </c>
    </row>
    <row r="78" spans="2:4" x14ac:dyDescent="0.3">
      <c r="B78">
        <f>C73-I54</f>
        <v>1.0333333333333334</v>
      </c>
      <c r="C78">
        <f t="shared" si="6"/>
        <v>2.0666666666666669</v>
      </c>
    </row>
    <row r="80" spans="2:4" x14ac:dyDescent="0.3">
      <c r="B80" t="s">
        <v>38</v>
      </c>
    </row>
    <row r="81" spans="2:2" x14ac:dyDescent="0.3">
      <c r="B81" s="14">
        <f>C76+G54</f>
        <v>0.86666666666666714</v>
      </c>
    </row>
    <row r="82" spans="2:2" x14ac:dyDescent="0.3">
      <c r="B82" s="14">
        <f>C77+H54</f>
        <v>-6.3333333333333339</v>
      </c>
    </row>
    <row r="83" spans="2:2" x14ac:dyDescent="0.3">
      <c r="B83" s="14">
        <f>C78+I54</f>
        <v>1.0666666666666669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матрица симметр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Георгий Биленко</dc:creator>
  <cp:lastModifiedBy>Екатерина Биленко</cp:lastModifiedBy>
  <dcterms:created xsi:type="dcterms:W3CDTF">2019-06-07T07:48:14Z</dcterms:created>
  <dcterms:modified xsi:type="dcterms:W3CDTF">2025-12-03T09:09:06Z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d7bda03a-cb36-41ba-8558-193a04a7b318</vt:lpwstr>
  </property>
</Properties>
</file>